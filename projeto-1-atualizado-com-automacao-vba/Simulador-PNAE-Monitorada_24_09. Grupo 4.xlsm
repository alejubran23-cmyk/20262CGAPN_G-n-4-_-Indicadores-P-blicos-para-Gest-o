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3025493\Downloads\"/>
    </mc:Choice>
  </mc:AlternateContent>
  <xr:revisionPtr revIDLastSave="0" documentId="8_{7A4D6A88-C51A-4C21-82BA-7827D0E3B185}" xr6:coauthVersionLast="47" xr6:coauthVersionMax="47" xr10:uidLastSave="{00000000-0000-0000-0000-000000000000}"/>
  <bookViews>
    <workbookView xWindow="-120" yWindow="-120" windowWidth="19440" windowHeight="14880" tabRatio="500" activeTab="2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<sst xmlns="http://schemas.openxmlformats.org/spreadsheetml/2006/main" count="78" uniqueCount="56">
  <si>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</si>
  <si>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</si>
  <si>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</si>
  <si>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</si>
  <si>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</si>
  <si>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</si>
  <si>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</si>
  <si>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</si>
  <si>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</si>
  <si>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</si>
  <si>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</si>
  <si>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</si>
  <si>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</si>
  <si>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</si>
  <si>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</si>
  <si>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</si>
  <si>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</si>
  <si>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</si>
  <si>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</si>
  <si>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</si>
  <si>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</si>
  <si>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</si>
  <si>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</si>
  <si>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</si>
  <si>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</si>
  <si>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</si>
  <si>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</si>
  <si>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</si>
  <si>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</si>
  <si>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</si>
  <si>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</si>
  <si>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</si>
  <si>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</si>
  <si>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</si>
  <si>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</si>
  <si>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</si>
  <si>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</si>
  <si>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</si>
  <si>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</si>
  <si>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</si>
  <si>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</si>
  <si>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</si>
  <si>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</si>
  <si>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</si>
  <si>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</si>
  <si>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</si>
  <si>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</si>
  <si>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</si>
  <si>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</si>
  <si>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Teste de Macro</t>
  </si>
  <si>
    <t>Maria Eduarda</t>
  </si>
  <si>
    <t>Teste</t>
  </si>
  <si>
    <t>Nome do usuário</t>
  </si>
  <si>
    <t>Usuário:</t>
  </si>
  <si>
    <t>teste 2</t>
  </si>
  <si>
    <t>Yuri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</si>
</sst>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7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  <font>
      <u/>
      <sz val="11"/>
      <color theme="1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167" fontId="0" fillId="0" borderId="0" xfId="0" applyNumberFormat="1"/>
    <xf numFmtId="0" fontId="14" fillId="9" borderId="9" xfId="0" applyFont="1" applyFill="1" applyBorder="1" applyAlignment="1">
      <alignment horizontal="center" vertical="center" wrapText="1"/>
    </xf>
    <xf numFmtId="0" fontId="1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42" t="s">
        <v>0</v>
      </c>
      <c r="B1" s="42"/>
    </row>
    <row r="2" spans="1:2" ht="62.25" customHeight="1" x14ac:dyDescent="0.25">
      <c r="A2" s="43" t="s">
        <v>1</v>
      </c>
      <c r="B2" s="43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4" t="s">
        <v>12</v>
      </c>
      <c r="B15" s="44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48"/>
  <sheetViews>
    <sheetView showGridLines="0" topLeftCell="A19" zoomScaleNormal="100" workbookViewId="0">
      <selection activeCell="E29" sqref="E29"/>
    </sheetView>
  </sheetViews>
  <sheetFormatPr defaultColWidth="8.7109375" defaultRowHeight="15" x14ac:dyDescent="0.25"/>
  <cols>
    <col min="1" max="1" width="30" customWidth="1"/>
    <col min="2" max="2" width="18.42578125" customWidth="1"/>
    <col min="3" max="3" width="18.28515625" customWidth="1"/>
    <col min="4" max="4" width="15.7109375" customWidth="1"/>
    <col min="5" max="5" width="16" customWidth="1"/>
    <col min="6" max="6" width="20" customWidth="1"/>
    <col min="7" max="7" width="22" customWidth="1"/>
    <col min="8" max="8" width="10" customWidth="1"/>
    <col min="9" max="9" width="11.7109375" customWidth="1"/>
  </cols>
  <sheetData>
    <row r="1" spans="1:3" ht="25.5" customHeight="1" x14ac:dyDescent="0.25">
      <c r="A1" s="48" t="s">
        <v>19</v>
      </c>
      <c r="B1" s="48"/>
      <c r="C1" s="48"/>
    </row>
    <row r="2" spans="1:3" ht="39.75" customHeight="1" x14ac:dyDescent="0.25">
      <c r="A2" s="43" t="s">
        <v>20</v>
      </c>
      <c r="B2" s="43"/>
      <c r="C2" s="43"/>
    </row>
    <row r="4" spans="1:3" x14ac:dyDescent="0.25">
      <c r="A4" s="4" t="s">
        <v>21</v>
      </c>
      <c r="B4" s="7" t="s">
        <v>22</v>
      </c>
    </row>
    <row r="5" spans="1:3" x14ac:dyDescent="0.25">
      <c r="A5" s="4" t="s">
        <v>23</v>
      </c>
      <c r="B5" s="7" t="s">
        <v>24</v>
      </c>
    </row>
    <row r="6" spans="1:3" x14ac:dyDescent="0.25">
      <c r="A6" s="4" t="s">
        <v>25</v>
      </c>
      <c r="B6" s="7" t="s">
        <v>26</v>
      </c>
    </row>
    <row r="8" spans="1:3" x14ac:dyDescent="0.25">
      <c r="A8" s="44" t="s">
        <v>27</v>
      </c>
      <c r="B8" s="44"/>
      <c r="C8" s="44"/>
    </row>
    <row r="9" spans="1:3" ht="30" customHeight="1" x14ac:dyDescent="0.25">
      <c r="A9" s="1" t="s">
        <v>2</v>
      </c>
      <c r="B9" s="1" t="s">
        <v>28</v>
      </c>
      <c r="C9" s="1" t="s">
        <v>3</v>
      </c>
    </row>
    <row r="10" spans="1:3" x14ac:dyDescent="0.2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2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2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2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2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2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25">
      <c r="A16" s="2" t="s">
        <v>10</v>
      </c>
      <c r="B16" s="8">
        <v>0</v>
      </c>
      <c r="C16" s="9">
        <f>VLOOKUP(A16,Parametros_PNAE!$A$5:$B$11,2,FALSE())</f>
        <v>0.78</v>
      </c>
    </row>
    <row r="17" spans="1:6" x14ac:dyDescent="0.25">
      <c r="A17" s="10" t="s">
        <v>29</v>
      </c>
      <c r="B17" s="11">
        <f>SUM(B10:B16)</f>
        <v>190</v>
      </c>
      <c r="C17" s="12"/>
    </row>
    <row r="19" spans="1:6" x14ac:dyDescent="0.25">
      <c r="A19" s="4" t="s">
        <v>30</v>
      </c>
      <c r="B19" s="13" t="str">
        <f>VLOOKUP(B17,Parametros_PNAE!$A$17:$B$19,2,TRUE())</f>
        <v>Pequena</v>
      </c>
      <c r="C19" s="12"/>
    </row>
    <row r="20" spans="1:6" x14ac:dyDescent="0.25">
      <c r="A20" s="4" t="s">
        <v>31</v>
      </c>
      <c r="B20" s="13">
        <f>Parametros_PNAE!$B$13</f>
        <v>200</v>
      </c>
      <c r="C20" s="12"/>
    </row>
    <row r="21" spans="1:6" x14ac:dyDescent="0.25">
      <c r="A21" s="4" t="s">
        <v>32</v>
      </c>
      <c r="B21" s="14">
        <f>SUMPRODUCT(B10:B16,C10:C16)*B20</f>
        <v>37660</v>
      </c>
      <c r="C21" s="12"/>
    </row>
    <row r="23" spans="1:6" ht="30" customHeight="1" x14ac:dyDescent="0.25">
      <c r="A23" s="49" t="s">
        <v>33</v>
      </c>
      <c r="B23" s="49"/>
      <c r="C23" s="15" t="str">
        <f>IF(AND(B19="Pequena",OR(B10&gt;0,B11&gt;0)),"Sim (regra fictícia de exercício)","Não")</f>
        <v>Sim (regra fictícia de exercício)</v>
      </c>
    </row>
    <row r="24" spans="1:6" ht="25.5" customHeight="1" x14ac:dyDescent="0.25">
      <c r="A24" s="50" t="s">
        <v>34</v>
      </c>
      <c r="B24" s="50"/>
      <c r="C24" s="50"/>
    </row>
    <row r="25" spans="1:6" ht="57" customHeight="1" x14ac:dyDescent="0.25">
      <c r="B25" s="16" t="s">
        <v>35</v>
      </c>
      <c r="C25" s="46"/>
      <c r="D25" s="46"/>
    </row>
    <row r="26" spans="1:6" ht="15.75" customHeight="1" x14ac:dyDescent="0.25">
      <c r="A26" s="17" t="s">
        <v>37</v>
      </c>
      <c r="B26" s="18" t="s">
        <v>38</v>
      </c>
      <c r="C26" s="19">
        <v>0</v>
      </c>
      <c r="F26" s="53"/>
    </row>
    <row r="27" spans="1:6" ht="25.5" customHeight="1" x14ac:dyDescent="0.25">
      <c r="A27" s="20" t="s">
        <v>2</v>
      </c>
      <c r="B27" s="20" t="s">
        <v>28</v>
      </c>
      <c r="C27" s="21" t="s">
        <v>39</v>
      </c>
      <c r="D27" s="20" t="s">
        <v>3</v>
      </c>
      <c r="E27" s="20" t="s">
        <v>53</v>
      </c>
      <c r="F27" s="20"/>
    </row>
    <row r="28" spans="1:6" x14ac:dyDescent="0.25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</row>
    <row r="29" spans="1:6" x14ac:dyDescent="0.25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  <c r="E29" s="53"/>
    </row>
    <row r="30" spans="1:6" x14ac:dyDescent="0.25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6" x14ac:dyDescent="0.2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6" x14ac:dyDescent="0.2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5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25">
      <c r="A37" s="47" t="s">
        <v>41</v>
      </c>
      <c r="B37" s="47"/>
      <c r="C37" s="47"/>
    </row>
    <row r="38" spans="1:4" x14ac:dyDescent="0.25">
      <c r="A38" s="47"/>
      <c r="B38" s="47"/>
      <c r="C38" s="47"/>
    </row>
    <row r="39" spans="1:4" x14ac:dyDescent="0.25">
      <c r="A39" s="20" t="s">
        <v>42</v>
      </c>
      <c r="B39" s="29">
        <f>C35</f>
        <v>190</v>
      </c>
      <c r="C39" s="30">
        <f>D35</f>
        <v>37660</v>
      </c>
    </row>
    <row r="40" spans="1:4" x14ac:dyDescent="0.25">
      <c r="A40" s="31">
        <v>-0.2</v>
      </c>
      <c r="B40" s="24">
        <v>152</v>
      </c>
      <c r="C40" s="32">
        <v>30128</v>
      </c>
    </row>
    <row r="41" spans="1:4" x14ac:dyDescent="0.25">
      <c r="A41" s="31">
        <v>-0.15</v>
      </c>
      <c r="B41" s="24">
        <v>161.5</v>
      </c>
      <c r="C41" s="32">
        <v>32011</v>
      </c>
    </row>
    <row r="42" spans="1:4" x14ac:dyDescent="0.25">
      <c r="A42" s="31">
        <v>-0.1</v>
      </c>
      <c r="B42" s="24">
        <v>171</v>
      </c>
      <c r="C42" s="32">
        <v>33894</v>
      </c>
    </row>
    <row r="43" spans="1:4" x14ac:dyDescent="0.25">
      <c r="A43" s="31">
        <v>-0.05</v>
      </c>
      <c r="B43" s="24">
        <v>180.5</v>
      </c>
      <c r="C43" s="32">
        <v>35777</v>
      </c>
    </row>
    <row r="44" spans="1:4" x14ac:dyDescent="0.25">
      <c r="A44" s="33">
        <v>0</v>
      </c>
      <c r="B44" s="34">
        <v>190</v>
      </c>
      <c r="C44" s="35">
        <v>37660</v>
      </c>
    </row>
    <row r="45" spans="1:4" x14ac:dyDescent="0.25">
      <c r="A45" s="31">
        <v>0.05</v>
      </c>
      <c r="B45" s="24">
        <v>199.5</v>
      </c>
      <c r="C45" s="32">
        <v>39543</v>
      </c>
    </row>
    <row r="46" spans="1:4" x14ac:dyDescent="0.25">
      <c r="A46" s="31">
        <v>0.1</v>
      </c>
      <c r="B46" s="24">
        <v>209</v>
      </c>
      <c r="C46" s="32">
        <v>41426</v>
      </c>
    </row>
    <row r="47" spans="1:4" x14ac:dyDescent="0.25">
      <c r="A47" s="31">
        <v>0.15</v>
      </c>
      <c r="B47" s="24">
        <v>218.5</v>
      </c>
      <c r="C47" s="32">
        <v>43309</v>
      </c>
    </row>
    <row r="48" spans="1:4" x14ac:dyDescent="0.25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9"/>
  <sheetViews>
    <sheetView tabSelected="1" zoomScaleNormal="100" workbookViewId="0">
      <selection activeCell="G10" sqref="G10"/>
    </sheetView>
  </sheetViews>
  <sheetFormatPr defaultColWidth="8.7109375" defaultRowHeight="15" x14ac:dyDescent="0.25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6" width="20" customWidth="1"/>
    <col min="7" max="7" width="15" customWidth="1"/>
  </cols>
  <sheetData>
    <row r="1" spans="1:7" ht="16.5" x14ac:dyDescent="0.25">
      <c r="A1" s="36" t="s">
        <v>43</v>
      </c>
    </row>
    <row r="2" spans="1:7" x14ac:dyDescent="0.25">
      <c r="A2" s="41" t="s">
        <v>44</v>
      </c>
    </row>
    <row r="4" spans="1:7" ht="30" x14ac:dyDescent="0.2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52" t="s">
        <v>52</v>
      </c>
    </row>
    <row r="5" spans="1:7" x14ac:dyDescent="0.25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</row>
    <row r="6" spans="1:7" x14ac:dyDescent="0.25">
      <c r="A6">
        <v>2</v>
      </c>
      <c r="B6" s="51">
        <v>46297.44840277778</v>
      </c>
      <c r="C6" s="39">
        <v>0.05</v>
      </c>
      <c r="D6" t="s">
        <v>49</v>
      </c>
      <c r="E6">
        <v>199.5</v>
      </c>
      <c r="F6" s="40">
        <v>39543.000000000007</v>
      </c>
    </row>
    <row r="7" spans="1:7" x14ac:dyDescent="0.25">
      <c r="A7">
        <v>3</v>
      </c>
      <c r="B7" s="51">
        <v>46297.448645833334</v>
      </c>
      <c r="C7" s="39">
        <v>0.25</v>
      </c>
      <c r="D7" t="s">
        <v>49</v>
      </c>
      <c r="E7">
        <v>237.5</v>
      </c>
      <c r="F7" s="40">
        <v>47075</v>
      </c>
    </row>
    <row r="8" spans="1:7" x14ac:dyDescent="0.25">
      <c r="A8">
        <v>4</v>
      </c>
      <c r="B8" s="51">
        <v>46297.478715277779</v>
      </c>
      <c r="C8" s="39">
        <v>0.05</v>
      </c>
      <c r="D8" t="s">
        <v>51</v>
      </c>
      <c r="E8">
        <v>199.5</v>
      </c>
      <c r="F8" s="40">
        <v>39543.000000000007</v>
      </c>
      <c r="G8" t="s">
        <v>50</v>
      </c>
    </row>
    <row r="9" spans="1:7" x14ac:dyDescent="0.25">
      <c r="A9">
        <v>5</v>
      </c>
      <c r="B9" s="51">
        <v>46297.480300925927</v>
      </c>
      <c r="C9" s="39">
        <v>0.1</v>
      </c>
      <c r="D9" t="s">
        <v>54</v>
      </c>
      <c r="E9">
        <v>209</v>
      </c>
      <c r="F9" s="40">
        <v>41426</v>
      </c>
      <c r="G9" t="s">
        <v>55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MARIA EDUARDA SILVA PEREIRA</cp:lastModifiedBy>
  <cp:revision>0</cp:revision>
  <dcterms:created xsi:type="dcterms:W3CDTF">2026-08-19T11:20:05Z</dcterms:created>
  <dcterms:modified xsi:type="dcterms:W3CDTF">2026-10-02T14:38:07Z</dcterms:modified>
  <dc:language>en-US</dc:language>
</cp:coreProperties>
</file>